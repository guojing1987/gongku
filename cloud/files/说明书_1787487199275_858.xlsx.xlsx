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\\192.168.1.197\管理部共享\02.总务\22.能耗记录\2、2026年能耗记录\"/>
    </mc:Choice>
  </mc:AlternateContent>
  <bookViews>
    <workbookView windowWidth="27945" windowHeight="12375" tabRatio="38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<sst xmlns="http://schemas.openxmlformats.org/spreadsheetml/2006/main" count="165" uniqueCount="116">
  <si>
    <t>2026年文化科技用电能耗记录明细表</t>
  </si>
  <si>
    <t>序号</t>
  </si>
  <si>
    <t>区域</t>
  </si>
  <si>
    <t>地点</t>
  </si>
  <si>
    <t>机台</t>
  </si>
  <si>
    <t>倍率</t>
  </si>
  <si>
    <t>12月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</si>
  <si>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</si>
  <si>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</si>
  <si>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</si>
  <si>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</si>
  <si>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</si>
  <si>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</si>
  <si>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</si>
  <si>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</si>
  <si>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</si>
  <si>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</si>
  <si>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</si>
  <si>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备注</t>
  </si>
  <si>
    <t>上期度数</t>
  </si>
  <si>
    <t>电表读数</t>
  </si>
  <si>
    <t>用电量</t>
  </si>
  <si>
    <t>涂布车间</t>
  </si>
  <si>
    <t>1#动力柜</t>
  </si>
  <si>
    <t>涂布机</t>
  </si>
  <si>
    <t>淋膜车间</t>
  </si>
  <si>
    <t>2#动力柜</t>
  </si>
  <si>
    <t>纸杯淋膜机，无溶剂复合</t>
  </si>
  <si>
    <t>3#动力柜</t>
  </si>
  <si>
    <t>无纺布淋膜</t>
  </si>
  <si>
    <t>模切车间</t>
  </si>
  <si>
    <t>4#动力柜</t>
  </si>
  <si>
    <t>模切，冲切，分切</t>
  </si>
  <si>
    <t>印刷车间</t>
  </si>
  <si>
    <t>5#动力柜</t>
  </si>
  <si>
    <t>华阳10+1，华阳8+1</t>
  </si>
  <si>
    <t>6#动力柜</t>
  </si>
  <si>
    <t>意高发</t>
  </si>
  <si>
    <t>立体库</t>
  </si>
  <si>
    <t>7#动力柜</t>
  </si>
  <si>
    <t>西立体库南连廊</t>
  </si>
  <si>
    <t>8#动力柜</t>
  </si>
  <si>
    <t>西立体库北堆垛机</t>
  </si>
  <si>
    <t>9#动力柜</t>
  </si>
  <si>
    <t>东立体库堆垛机</t>
  </si>
  <si>
    <t>无纺布制袋车间</t>
  </si>
  <si>
    <t>10#动力柜</t>
  </si>
  <si>
    <t>无纺布袋机</t>
  </si>
  <si>
    <t>纸袋车间</t>
  </si>
  <si>
    <t>11#动力柜</t>
  </si>
  <si>
    <t>纸袋机</t>
  </si>
  <si>
    <t>纸杯车间</t>
  </si>
  <si>
    <t>12#动力柜</t>
  </si>
  <si>
    <t>纸杯机</t>
  </si>
  <si>
    <t>13#动力柜</t>
  </si>
  <si>
    <t>机械手</t>
  </si>
  <si>
    <t>14#动力柜</t>
  </si>
  <si>
    <t>废纸打包房</t>
  </si>
  <si>
    <t>15#动力柜</t>
  </si>
  <si>
    <t>西边废纸打包房</t>
  </si>
  <si>
    <t>中央空调</t>
  </si>
  <si>
    <t>16#动力柜</t>
  </si>
  <si>
    <t>研发中心</t>
  </si>
  <si>
    <t>制版房</t>
  </si>
  <si>
    <t>空压机房</t>
  </si>
  <si>
    <t>17#动力柜</t>
  </si>
  <si>
    <t>空压机</t>
  </si>
  <si>
    <t>18#动力柜</t>
  </si>
  <si>
    <t>东边废纸打包房</t>
  </si>
  <si>
    <t>19#动力柜</t>
  </si>
  <si>
    <t>无纺布制袋（欧诺）</t>
  </si>
  <si>
    <t>物流输送线</t>
  </si>
  <si>
    <t>21#动力柜</t>
  </si>
  <si>
    <t>22#动力柜</t>
  </si>
  <si>
    <t>污水处理房</t>
  </si>
  <si>
    <t>24#动力柜</t>
  </si>
  <si>
    <t>正博纸袋机</t>
  </si>
  <si>
    <t>25#动力柜</t>
  </si>
  <si>
    <t>利拓</t>
  </si>
  <si>
    <t>1#</t>
  </si>
  <si>
    <t>织布车间</t>
  </si>
  <si>
    <t>2#</t>
  </si>
  <si>
    <t>无纺布织布机1</t>
  </si>
  <si>
    <t>3#</t>
  </si>
  <si>
    <t>无纺布织布机2</t>
  </si>
  <si>
    <t>环保设施</t>
  </si>
  <si>
    <t>4#</t>
  </si>
  <si>
    <t>VOC</t>
  </si>
  <si>
    <t>照明</t>
  </si>
  <si>
    <t>5#</t>
  </si>
  <si>
    <t>应急照明</t>
  </si>
  <si>
    <t>6#</t>
  </si>
  <si>
    <t>配电房门外辅房</t>
  </si>
  <si>
    <t>门卫</t>
  </si>
  <si>
    <t>7#</t>
  </si>
  <si>
    <t>8#</t>
  </si>
  <si>
    <t>室外照明</t>
  </si>
  <si>
    <t>9#</t>
  </si>
  <si>
    <t>配电房照明</t>
  </si>
  <si>
    <t>消防泵房</t>
  </si>
  <si>
    <t>10#</t>
  </si>
  <si>
    <t>富林特油墨</t>
  </si>
  <si>
    <t>富林特油墨房</t>
  </si>
  <si>
    <t>富林特油墨房空调</t>
  </si>
  <si>
    <t>天龙油墨</t>
  </si>
  <si>
    <t>11#</t>
  </si>
  <si>
    <t>车间照明</t>
  </si>
  <si>
    <t>1#变压器</t>
  </si>
  <si>
    <t>12#</t>
  </si>
  <si>
    <t>2#变压器</t>
  </si>
  <si>
    <t>13#</t>
  </si>
  <si>
    <t>3#变压器</t>
  </si>
  <si>
    <t>14#</t>
  </si>
  <si>
    <t>4#变压器</t>
  </si>
  <si>
    <t>15#</t>
  </si>
  <si>
    <t>合计：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</si>
</sst>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6" borderId="5">
      <alignment vertical="center"/>
    </xf>
    <xf numFmtId="0" fontId="12" fillId="7" borderId="6">
      <alignment vertical="center"/>
    </xf>
    <xf numFmtId="0" fontId="13" fillId="7" borderId="5">
      <alignment vertical="center"/>
    </xf>
    <xf numFmtId="0" fontId="14" fillId="8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</cellStyleXfs>
  <cellXfs count="14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76" fontId="1" fillId="0" borderId="1" xfId="0" applyNumberFormat="1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546100</xdr:colOff>
      <xdr:row>0</xdr:row>
      <xdr:rowOff>667385</xdr:rowOff>
    </xdr:to>
    <xdr:pic>
      <xdr:nvPicPr>
        <xdr:cNvPr id="2" name="图片 3" descr="167851358013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595880" cy="6673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E47"/>
  <sheetViews>
    <sheetView tabSelected="1" zoomScale="85" zoomScaleNormal="85" workbookViewId="0">
      <pane xSplit="4" ySplit="3" topLeftCell="L4" activePane="bottomRight" state="frozen"/>
      <selection/>
      <selection pane="topRight"/>
      <selection pane="bottomLeft"/>
      <selection pane="bottomRight" activeCell="R48" sqref="R48"/>
    </sheetView>
  </sheetViews>
  <sheetFormatPr defaultColWidth="9" defaultRowHeight="13.5"/>
  <cols>
    <col min="1" max="1" width="3.375" customWidth="1"/>
    <col min="2" max="2" width="14.4083333333333" customWidth="1"/>
    <col min="3" max="3" width="9.11666666666667" customWidth="1"/>
    <col min="4" max="4" width="20.2916666666667" customWidth="1"/>
    <col min="5" max="5" width="4.69166666666667" customWidth="1"/>
    <col min="6" max="6" width="12.7916666666667" customWidth="1"/>
    <col min="7" max="20" width="12.8" customWidth="1"/>
    <col min="21" max="30" width="10.4333333333333" customWidth="1"/>
  </cols>
  <sheetData>
    <row r="1" ht="54" customHeight="1" spans="1:3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ht="23" customHeight="1" spans="1:3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/>
      <c r="I2" s="6" t="s">
        <v>8</v>
      </c>
      <c r="J2" s="6"/>
      <c r="K2" s="6" t="s">
        <v>9</v>
      </c>
      <c r="L2" s="6"/>
      <c r="M2" s="6" t="s">
        <v>10</v>
      </c>
      <c r="N2" s="6"/>
      <c r="O2" s="6" t="s">
        <v>11</v>
      </c>
      <c r="P2" s="6"/>
      <c r="Q2" s="6" t="s">
        <v>12</v>
      </c>
      <c r="R2" s="6"/>
      <c r="S2" s="6" t="s">
        <v>13</v>
      </c>
      <c r="T2" s="6"/>
      <c r="U2" s="6" t="s">
        <v>14</v>
      </c>
      <c r="V2" s="6"/>
      <c r="W2" s="6" t="s">
        <v>15</v>
      </c>
      <c r="X2" s="6"/>
      <c r="Y2" s="6" t="s">
        <v>16</v>
      </c>
      <c r="Z2" s="6"/>
      <c r="AA2" s="6" t="s">
        <v>17</v>
      </c>
      <c r="AB2" s="6"/>
      <c r="AC2" s="6" t="s">
        <v>6</v>
      </c>
      <c r="AD2" s="6"/>
      <c r="AE2" s="6" t="s">
        <v>18</v>
      </c>
    </row>
    <row r="3" ht="23" customHeight="1" spans="1:31">
      <c r="A3" s="5"/>
      <c r="B3" s="6"/>
      <c r="C3" s="6"/>
      <c r="D3" s="6"/>
      <c r="E3" s="6"/>
      <c r="F3" s="6" t="s">
        <v>19</v>
      </c>
      <c r="G3" s="6" t="s">
        <v>20</v>
      </c>
      <c r="H3" s="6" t="s">
        <v>21</v>
      </c>
      <c r="I3" s="6" t="s">
        <v>20</v>
      </c>
      <c r="J3" s="6" t="s">
        <v>21</v>
      </c>
      <c r="K3" s="6" t="s">
        <v>20</v>
      </c>
      <c r="L3" s="6" t="s">
        <v>21</v>
      </c>
      <c r="M3" s="6" t="s">
        <v>20</v>
      </c>
      <c r="N3" s="6" t="s">
        <v>21</v>
      </c>
      <c r="O3" s="6" t="s">
        <v>20</v>
      </c>
      <c r="P3" s="6" t="s">
        <v>21</v>
      </c>
      <c r="Q3" s="6" t="s">
        <v>20</v>
      </c>
      <c r="R3" s="6" t="s">
        <v>21</v>
      </c>
      <c r="S3" s="6" t="s">
        <v>20</v>
      </c>
      <c r="T3" s="6" t="s">
        <v>21</v>
      </c>
      <c r="U3" s="6" t="s">
        <v>20</v>
      </c>
      <c r="V3" s="6" t="s">
        <v>21</v>
      </c>
      <c r="W3" s="6" t="s">
        <v>20</v>
      </c>
      <c r="X3" s="6" t="s">
        <v>21</v>
      </c>
      <c r="Y3" s="6" t="s">
        <v>20</v>
      </c>
      <c r="Z3" s="6" t="s">
        <v>21</v>
      </c>
      <c r="AA3" s="6" t="s">
        <v>20</v>
      </c>
      <c r="AB3" s="6" t="s">
        <v>21</v>
      </c>
      <c r="AC3" s="6" t="s">
        <v>20</v>
      </c>
      <c r="AD3" s="6" t="s">
        <v>21</v>
      </c>
      <c r="AE3" s="6"/>
    </row>
    <row r="4" ht="21" customHeight="1" spans="1:31">
      <c r="A4" s="7">
        <v>1</v>
      </c>
      <c r="B4" s="8" t="s">
        <v>22</v>
      </c>
      <c r="C4" s="7" t="s">
        <v>23</v>
      </c>
      <c r="D4" s="7" t="s">
        <v>24</v>
      </c>
      <c r="E4" s="7">
        <v>200</v>
      </c>
      <c r="F4" s="7">
        <v>0</v>
      </c>
      <c r="G4" s="7">
        <v>0.37</v>
      </c>
      <c r="H4" s="7">
        <f>(G4-F4)*E4</f>
        <v>74</v>
      </c>
      <c r="I4" s="7">
        <v>0.62</v>
      </c>
      <c r="J4" s="7">
        <f>(I4-G4)*E4</f>
        <v>50</v>
      </c>
      <c r="K4" s="7">
        <v>0.95</v>
      </c>
      <c r="L4" s="7">
        <f>(K4-I4)*E4</f>
        <v>66</v>
      </c>
      <c r="M4" s="7">
        <v>1.08</v>
      </c>
      <c r="N4" s="7">
        <f>(M4-K4)*E4</f>
        <v>26</v>
      </c>
      <c r="O4" s="7">
        <v>1.31</v>
      </c>
      <c r="P4" s="7">
        <f>(O4-M4)*E4</f>
        <v>46</v>
      </c>
      <c r="Q4" s="7">
        <v>1.99</v>
      </c>
      <c r="R4" s="7">
        <f>(Q4-O4)*E4</f>
        <v>136</v>
      </c>
      <c r="S4" s="7">
        <v>2.35</v>
      </c>
      <c r="T4" s="7">
        <f>(S4-Q4)*E4</f>
        <v>72</v>
      </c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21" customHeight="1" spans="1:31">
      <c r="A5" s="7">
        <v>2</v>
      </c>
      <c r="B5" s="8" t="s">
        <v>25</v>
      </c>
      <c r="C5" s="7" t="s">
        <v>26</v>
      </c>
      <c r="D5" s="7" t="s">
        <v>27</v>
      </c>
      <c r="E5" s="7">
        <v>200</v>
      </c>
      <c r="F5" s="7">
        <v>22.3</v>
      </c>
      <c r="G5" s="7">
        <v>34.67</v>
      </c>
      <c r="H5" s="7">
        <f t="shared" ref="H5:H46" si="0">(G5-F5)*E5</f>
        <v>2474</v>
      </c>
      <c r="I5" s="7">
        <v>39.11</v>
      </c>
      <c r="J5" s="7">
        <f t="shared" ref="J5:J46" si="1">(I5-G5)*E5</f>
        <v>888</v>
      </c>
      <c r="K5" s="7">
        <v>64.07</v>
      </c>
      <c r="L5" s="7">
        <f t="shared" ref="L5:L46" si="2">(K5-I5)*E5</f>
        <v>4992</v>
      </c>
      <c r="M5" s="7">
        <v>135.89</v>
      </c>
      <c r="N5" s="7">
        <f t="shared" ref="N5:N46" si="3">(M5-K5)*E5</f>
        <v>14364</v>
      </c>
      <c r="O5" s="7">
        <v>145.1</v>
      </c>
      <c r="P5" s="7">
        <f t="shared" ref="P5:P46" si="4">(O5-M5)*E5</f>
        <v>1842</v>
      </c>
      <c r="Q5" s="7">
        <v>162.34</v>
      </c>
      <c r="R5" s="7">
        <f t="shared" ref="R5:R46" si="5">(Q5-O5)*E5</f>
        <v>3448</v>
      </c>
      <c r="S5" s="7">
        <v>233.81</v>
      </c>
      <c r="T5" s="7">
        <f t="shared" ref="T5:T47" si="6">(S5-Q5)*E5</f>
        <v>14294</v>
      </c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ht="21" customHeight="1" spans="1:31">
      <c r="A6" s="7">
        <v>3</v>
      </c>
      <c r="B6" s="8"/>
      <c r="C6" s="7" t="s">
        <v>28</v>
      </c>
      <c r="D6" s="7" t="s">
        <v>29</v>
      </c>
      <c r="E6" s="7">
        <v>200</v>
      </c>
      <c r="F6" s="7">
        <v>13.33</v>
      </c>
      <c r="G6" s="7">
        <v>29.23</v>
      </c>
      <c r="H6" s="7">
        <f t="shared" si="0"/>
        <v>3180</v>
      </c>
      <c r="I6" s="7">
        <v>35.72</v>
      </c>
      <c r="J6" s="7">
        <f t="shared" si="1"/>
        <v>1298</v>
      </c>
      <c r="K6" s="7">
        <v>45.7</v>
      </c>
      <c r="L6" s="7">
        <f t="shared" si="2"/>
        <v>1996</v>
      </c>
      <c r="M6" s="7">
        <v>63.18</v>
      </c>
      <c r="N6" s="7">
        <f t="shared" si="3"/>
        <v>3496</v>
      </c>
      <c r="O6" s="7">
        <v>75.1</v>
      </c>
      <c r="P6" s="7">
        <f t="shared" si="4"/>
        <v>2384</v>
      </c>
      <c r="Q6" s="7">
        <v>89.47</v>
      </c>
      <c r="R6" s="7">
        <f t="shared" si="5"/>
        <v>2874</v>
      </c>
      <c r="S6" s="7">
        <v>108.91</v>
      </c>
      <c r="T6" s="7">
        <f t="shared" si="6"/>
        <v>3888</v>
      </c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21" customHeight="1" spans="1:31">
      <c r="A7" s="7">
        <v>4</v>
      </c>
      <c r="B7" s="8" t="s">
        <v>30</v>
      </c>
      <c r="C7" s="9" t="s">
        <v>31</v>
      </c>
      <c r="D7" s="9" t="s">
        <v>32</v>
      </c>
      <c r="E7" s="7">
        <v>200</v>
      </c>
      <c r="F7" s="7">
        <v>20.7</v>
      </c>
      <c r="G7" s="7">
        <v>25.65</v>
      </c>
      <c r="H7" s="7">
        <f t="shared" si="0"/>
        <v>990</v>
      </c>
      <c r="I7" s="7">
        <v>28.31</v>
      </c>
      <c r="J7" s="7">
        <f t="shared" si="1"/>
        <v>532</v>
      </c>
      <c r="K7" s="7">
        <v>35</v>
      </c>
      <c r="L7" s="7">
        <f t="shared" si="2"/>
        <v>1338</v>
      </c>
      <c r="M7" s="7">
        <v>45.13</v>
      </c>
      <c r="N7" s="7">
        <f t="shared" si="3"/>
        <v>2026</v>
      </c>
      <c r="O7" s="9">
        <v>49.1</v>
      </c>
      <c r="P7" s="7">
        <f t="shared" si="4"/>
        <v>794</v>
      </c>
      <c r="Q7" s="7">
        <v>57.19</v>
      </c>
      <c r="R7" s="7">
        <f t="shared" si="5"/>
        <v>1618</v>
      </c>
      <c r="S7" s="9">
        <v>68.26</v>
      </c>
      <c r="T7" s="7">
        <f t="shared" si="6"/>
        <v>2214</v>
      </c>
      <c r="U7" s="9"/>
      <c r="V7" s="9"/>
      <c r="W7" s="9"/>
      <c r="X7" s="9"/>
      <c r="Y7" s="9"/>
      <c r="Z7" s="9"/>
      <c r="AA7" s="9"/>
      <c r="AB7" s="9"/>
      <c r="AC7" s="9"/>
      <c r="AD7" s="9"/>
      <c r="AE7" s="7"/>
    </row>
    <row r="8" ht="21" customHeight="1" spans="1:31">
      <c r="A8" s="7">
        <v>5</v>
      </c>
      <c r="B8" s="8" t="s">
        <v>33</v>
      </c>
      <c r="C8" s="9" t="s">
        <v>34</v>
      </c>
      <c r="D8" s="9" t="s">
        <v>35</v>
      </c>
      <c r="E8" s="7">
        <v>200</v>
      </c>
      <c r="F8" s="7">
        <v>325.47</v>
      </c>
      <c r="G8" s="7">
        <v>411.2</v>
      </c>
      <c r="H8" s="7">
        <f t="shared" si="0"/>
        <v>17146</v>
      </c>
      <c r="I8" s="7">
        <v>433.06</v>
      </c>
      <c r="J8" s="7">
        <f t="shared" si="1"/>
        <v>4372</v>
      </c>
      <c r="K8" s="7">
        <v>497.5</v>
      </c>
      <c r="L8" s="7">
        <f t="shared" si="2"/>
        <v>12888</v>
      </c>
      <c r="M8" s="7">
        <v>621.44</v>
      </c>
      <c r="N8" s="7">
        <f t="shared" si="3"/>
        <v>24788</v>
      </c>
      <c r="O8" s="9">
        <v>679.5</v>
      </c>
      <c r="P8" s="7">
        <f t="shared" si="4"/>
        <v>11612</v>
      </c>
      <c r="Q8" s="7">
        <v>759.85</v>
      </c>
      <c r="R8" s="7">
        <f t="shared" si="5"/>
        <v>16070</v>
      </c>
      <c r="S8" s="9">
        <v>874.89</v>
      </c>
      <c r="T8" s="7">
        <f t="shared" si="6"/>
        <v>23008</v>
      </c>
      <c r="U8" s="9"/>
      <c r="V8" s="9"/>
      <c r="W8" s="9"/>
      <c r="X8" s="9"/>
      <c r="Y8" s="9"/>
      <c r="Z8" s="9"/>
      <c r="AA8" s="9"/>
      <c r="AB8" s="9"/>
      <c r="AC8" s="9"/>
      <c r="AD8" s="9"/>
      <c r="AE8" s="7"/>
    </row>
    <row r="9" ht="21" customHeight="1" spans="1:31">
      <c r="A9" s="7">
        <v>6</v>
      </c>
      <c r="B9" s="8"/>
      <c r="C9" s="9" t="s">
        <v>36</v>
      </c>
      <c r="D9" s="9" t="s">
        <v>37</v>
      </c>
      <c r="E9" s="7">
        <v>200</v>
      </c>
      <c r="F9" s="7">
        <v>35.81</v>
      </c>
      <c r="G9" s="7">
        <v>37.72</v>
      </c>
      <c r="H9" s="7">
        <f t="shared" si="0"/>
        <v>381.999999999999</v>
      </c>
      <c r="I9" s="7">
        <v>38.35</v>
      </c>
      <c r="J9" s="7">
        <f t="shared" si="1"/>
        <v>126.000000000001</v>
      </c>
      <c r="K9" s="7">
        <v>39.2</v>
      </c>
      <c r="L9" s="7">
        <f t="shared" si="2"/>
        <v>170</v>
      </c>
      <c r="M9" s="7">
        <v>41.21</v>
      </c>
      <c r="N9" s="7">
        <f t="shared" si="3"/>
        <v>402</v>
      </c>
      <c r="O9" s="9">
        <v>42.3</v>
      </c>
      <c r="P9" s="7">
        <f t="shared" si="4"/>
        <v>217.999999999999</v>
      </c>
      <c r="Q9" s="7">
        <v>43.9</v>
      </c>
      <c r="R9" s="7">
        <f t="shared" si="5"/>
        <v>320</v>
      </c>
      <c r="S9" s="9">
        <v>45.59</v>
      </c>
      <c r="T9" s="7">
        <f t="shared" si="6"/>
        <v>338.000000000001</v>
      </c>
      <c r="U9" s="9"/>
      <c r="V9" s="9"/>
      <c r="W9" s="9"/>
      <c r="X9" s="9"/>
      <c r="Y9" s="9"/>
      <c r="Z9" s="9"/>
      <c r="AA9" s="9"/>
      <c r="AB9" s="9"/>
      <c r="AC9" s="9"/>
      <c r="AD9" s="9"/>
      <c r="AE9" s="7"/>
    </row>
    <row r="10" ht="21" customHeight="1" spans="1:31">
      <c r="A10" s="7">
        <v>7</v>
      </c>
      <c r="B10" s="8" t="s">
        <v>38</v>
      </c>
      <c r="C10" s="9" t="s">
        <v>39</v>
      </c>
      <c r="D10" s="9" t="s">
        <v>40</v>
      </c>
      <c r="E10" s="7">
        <v>200</v>
      </c>
      <c r="F10" s="7">
        <v>61.4</v>
      </c>
      <c r="G10" s="7">
        <v>75.6</v>
      </c>
      <c r="H10" s="7">
        <f t="shared" si="0"/>
        <v>2840</v>
      </c>
      <c r="I10" s="7">
        <v>90.75</v>
      </c>
      <c r="J10" s="7">
        <f t="shared" si="1"/>
        <v>3030</v>
      </c>
      <c r="K10" s="7">
        <v>118.9</v>
      </c>
      <c r="L10" s="7">
        <f t="shared" si="2"/>
        <v>5630</v>
      </c>
      <c r="M10" s="7">
        <v>154.44</v>
      </c>
      <c r="N10" s="7">
        <f t="shared" si="3"/>
        <v>7108</v>
      </c>
      <c r="O10" s="9">
        <v>176.7</v>
      </c>
      <c r="P10" s="7">
        <f t="shared" si="4"/>
        <v>4452</v>
      </c>
      <c r="Q10" s="7">
        <v>201.72</v>
      </c>
      <c r="R10" s="7">
        <f t="shared" si="5"/>
        <v>5004</v>
      </c>
      <c r="S10" s="9">
        <v>234.39</v>
      </c>
      <c r="T10" s="7">
        <f t="shared" si="6"/>
        <v>6534</v>
      </c>
      <c r="U10" s="9"/>
      <c r="V10" s="9"/>
      <c r="W10" s="9"/>
      <c r="X10" s="9"/>
      <c r="Y10" s="9"/>
      <c r="Z10" s="9"/>
      <c r="AA10" s="9"/>
      <c r="AB10" s="9"/>
      <c r="AC10" s="9"/>
      <c r="AD10" s="9"/>
      <c r="AE10" s="7"/>
    </row>
    <row r="11" ht="21" customHeight="1" spans="1:31">
      <c r="A11" s="7">
        <v>8</v>
      </c>
      <c r="B11" s="8"/>
      <c r="C11" s="9" t="s">
        <v>41</v>
      </c>
      <c r="D11" s="9" t="s">
        <v>42</v>
      </c>
      <c r="E11" s="7">
        <v>120</v>
      </c>
      <c r="F11" s="7">
        <v>42.34</v>
      </c>
      <c r="G11" s="7">
        <v>52.76</v>
      </c>
      <c r="H11" s="7">
        <f t="shared" si="0"/>
        <v>1250.4</v>
      </c>
      <c r="I11" s="7">
        <v>65.4</v>
      </c>
      <c r="J11" s="7">
        <f t="shared" si="1"/>
        <v>1516.8</v>
      </c>
      <c r="K11" s="7">
        <v>91.8</v>
      </c>
      <c r="L11" s="7">
        <f t="shared" si="2"/>
        <v>3168</v>
      </c>
      <c r="M11" s="7">
        <v>124.49</v>
      </c>
      <c r="N11" s="7">
        <f t="shared" si="3"/>
        <v>3922.8</v>
      </c>
      <c r="O11" s="9">
        <v>145.3</v>
      </c>
      <c r="P11" s="7">
        <f t="shared" si="4"/>
        <v>2497.2</v>
      </c>
      <c r="Q11" s="7">
        <v>171.42</v>
      </c>
      <c r="R11" s="7">
        <f t="shared" si="5"/>
        <v>3134.4</v>
      </c>
      <c r="S11" s="9">
        <v>204.29</v>
      </c>
      <c r="T11" s="7">
        <f t="shared" si="6"/>
        <v>3944.4</v>
      </c>
      <c r="U11" s="9"/>
      <c r="V11" s="9"/>
      <c r="W11" s="9"/>
      <c r="X11" s="9"/>
      <c r="Y11" s="9"/>
      <c r="Z11" s="9"/>
      <c r="AA11" s="9"/>
      <c r="AB11" s="9"/>
      <c r="AC11" s="9"/>
      <c r="AD11" s="9"/>
      <c r="AE11" s="7"/>
    </row>
    <row r="12" ht="21" customHeight="1" spans="1:31">
      <c r="A12" s="7">
        <v>9</v>
      </c>
      <c r="B12" s="8"/>
      <c r="C12" s="9" t="s">
        <v>43</v>
      </c>
      <c r="D12" s="9" t="s">
        <v>44</v>
      </c>
      <c r="E12" s="7">
        <v>120</v>
      </c>
      <c r="F12" s="7">
        <v>30.64</v>
      </c>
      <c r="G12" s="7">
        <v>36.6</v>
      </c>
      <c r="H12" s="7">
        <f t="shared" si="0"/>
        <v>715.2</v>
      </c>
      <c r="I12" s="7">
        <v>39.65</v>
      </c>
      <c r="J12" s="7">
        <f t="shared" si="1"/>
        <v>366</v>
      </c>
      <c r="K12" s="7">
        <v>45.5</v>
      </c>
      <c r="L12" s="7">
        <f t="shared" si="2"/>
        <v>702</v>
      </c>
      <c r="M12" s="7">
        <v>53.43</v>
      </c>
      <c r="N12" s="7">
        <f t="shared" si="3"/>
        <v>951.6</v>
      </c>
      <c r="O12" s="9">
        <v>59.1</v>
      </c>
      <c r="P12" s="7">
        <f t="shared" si="4"/>
        <v>680.4</v>
      </c>
      <c r="Q12" s="7">
        <v>65.89</v>
      </c>
      <c r="R12" s="7">
        <f t="shared" si="5"/>
        <v>814.8</v>
      </c>
      <c r="S12" s="9">
        <v>72.88</v>
      </c>
      <c r="T12" s="7">
        <f t="shared" si="6"/>
        <v>838.799999999999</v>
      </c>
      <c r="U12" s="9"/>
      <c r="V12" s="9"/>
      <c r="W12" s="9"/>
      <c r="X12" s="9"/>
      <c r="Y12" s="9"/>
      <c r="Z12" s="9"/>
      <c r="AA12" s="9"/>
      <c r="AB12" s="9"/>
      <c r="AC12" s="9"/>
      <c r="AD12" s="9"/>
      <c r="AE12" s="7"/>
    </row>
    <row r="13" ht="21" customHeight="1" spans="1:31">
      <c r="A13" s="7">
        <v>10</v>
      </c>
      <c r="B13" s="8" t="s">
        <v>45</v>
      </c>
      <c r="C13" s="9" t="s">
        <v>46</v>
      </c>
      <c r="D13" s="9" t="s">
        <v>47</v>
      </c>
      <c r="E13" s="7">
        <v>120</v>
      </c>
      <c r="F13" s="7">
        <v>261.4</v>
      </c>
      <c r="G13" s="7">
        <v>348.5</v>
      </c>
      <c r="H13" s="7">
        <f t="shared" si="0"/>
        <v>10452</v>
      </c>
      <c r="I13" s="7">
        <v>405.25</v>
      </c>
      <c r="J13" s="7">
        <f t="shared" si="1"/>
        <v>6810</v>
      </c>
      <c r="K13" s="7">
        <v>480.4</v>
      </c>
      <c r="L13" s="7">
        <f t="shared" si="2"/>
        <v>9018</v>
      </c>
      <c r="M13" s="7">
        <v>575.68</v>
      </c>
      <c r="N13" s="7">
        <f t="shared" si="3"/>
        <v>11433.6</v>
      </c>
      <c r="O13" s="9">
        <v>680.5</v>
      </c>
      <c r="P13" s="7">
        <f t="shared" si="4"/>
        <v>12578.4</v>
      </c>
      <c r="Q13" s="7">
        <v>748.05</v>
      </c>
      <c r="R13" s="7">
        <f t="shared" si="5"/>
        <v>8105.99999999999</v>
      </c>
      <c r="S13" s="9">
        <v>833.67</v>
      </c>
      <c r="T13" s="7">
        <f t="shared" si="6"/>
        <v>10274.4</v>
      </c>
      <c r="U13" s="9"/>
      <c r="V13" s="9"/>
      <c r="W13" s="9"/>
      <c r="X13" s="9"/>
      <c r="Y13" s="9"/>
      <c r="Z13" s="9"/>
      <c r="AA13" s="9"/>
      <c r="AB13" s="9"/>
      <c r="AC13" s="9"/>
      <c r="AD13" s="9"/>
      <c r="AE13" s="7"/>
    </row>
    <row r="14" ht="21" customHeight="1" spans="1:31">
      <c r="A14" s="7">
        <v>11</v>
      </c>
      <c r="B14" s="8" t="s">
        <v>48</v>
      </c>
      <c r="C14" s="9" t="s">
        <v>49</v>
      </c>
      <c r="D14" s="9" t="s">
        <v>50</v>
      </c>
      <c r="E14" s="7">
        <v>120</v>
      </c>
      <c r="F14" s="7">
        <v>233.73</v>
      </c>
      <c r="G14" s="7">
        <v>233.9</v>
      </c>
      <c r="H14" s="7">
        <f t="shared" si="0"/>
        <v>20.4000000000019</v>
      </c>
      <c r="I14" s="7">
        <v>234.58</v>
      </c>
      <c r="J14" s="7">
        <f t="shared" si="1"/>
        <v>81.6000000000008</v>
      </c>
      <c r="K14" s="7">
        <v>238.3</v>
      </c>
      <c r="L14" s="7">
        <f t="shared" si="2"/>
        <v>446.4</v>
      </c>
      <c r="M14" s="7">
        <v>239.6</v>
      </c>
      <c r="N14" s="7">
        <f t="shared" si="3"/>
        <v>155.999999999998</v>
      </c>
      <c r="O14" s="9">
        <v>240</v>
      </c>
      <c r="P14" s="7">
        <f t="shared" si="4"/>
        <v>48.0000000000007</v>
      </c>
      <c r="Q14" s="7">
        <v>243.06</v>
      </c>
      <c r="R14" s="7">
        <f t="shared" si="5"/>
        <v>367.2</v>
      </c>
      <c r="S14" s="9">
        <v>250.84</v>
      </c>
      <c r="T14" s="7">
        <f t="shared" si="6"/>
        <v>933.6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7"/>
    </row>
    <row r="15" ht="21" customHeight="1" spans="1:31">
      <c r="A15" s="7">
        <v>12</v>
      </c>
      <c r="B15" s="8" t="s">
        <v>51</v>
      </c>
      <c r="C15" s="9" t="s">
        <v>52</v>
      </c>
      <c r="D15" s="9" t="s">
        <v>53</v>
      </c>
      <c r="E15" s="7">
        <v>120</v>
      </c>
      <c r="F15" s="7">
        <v>63.5</v>
      </c>
      <c r="G15" s="7">
        <v>89.6</v>
      </c>
      <c r="H15" s="7">
        <f t="shared" si="0"/>
        <v>3132</v>
      </c>
      <c r="I15" s="7">
        <v>107.53</v>
      </c>
      <c r="J15" s="7">
        <f t="shared" si="1"/>
        <v>2151.6</v>
      </c>
      <c r="K15" s="7">
        <v>158.6</v>
      </c>
      <c r="L15" s="7">
        <f t="shared" si="2"/>
        <v>6128.4</v>
      </c>
      <c r="M15" s="7">
        <v>226.03</v>
      </c>
      <c r="N15" s="7">
        <f t="shared" si="3"/>
        <v>8091.6</v>
      </c>
      <c r="O15" s="9">
        <v>246</v>
      </c>
      <c r="P15" s="7">
        <f t="shared" si="4"/>
        <v>2396.4</v>
      </c>
      <c r="Q15" s="7">
        <v>315.75</v>
      </c>
      <c r="R15" s="7">
        <f t="shared" si="5"/>
        <v>8370</v>
      </c>
      <c r="S15" s="9">
        <v>413.12</v>
      </c>
      <c r="T15" s="7">
        <f t="shared" si="6"/>
        <v>11684.4</v>
      </c>
      <c r="U15" s="9"/>
      <c r="V15" s="9"/>
      <c r="W15" s="9"/>
      <c r="X15" s="9"/>
      <c r="Y15" s="9"/>
      <c r="Z15" s="9"/>
      <c r="AA15" s="9"/>
      <c r="AB15" s="9"/>
      <c r="AC15" s="9"/>
      <c r="AD15" s="9"/>
      <c r="AE15" s="7"/>
    </row>
    <row r="16" ht="21" customHeight="1" spans="1:31">
      <c r="A16" s="7">
        <v>13</v>
      </c>
      <c r="B16" s="8" t="s">
        <v>51</v>
      </c>
      <c r="C16" s="9" t="s">
        <v>54</v>
      </c>
      <c r="D16" s="9" t="s">
        <v>53</v>
      </c>
      <c r="E16" s="7">
        <v>120</v>
      </c>
      <c r="F16" s="7">
        <v>94</v>
      </c>
      <c r="G16" s="7">
        <v>121</v>
      </c>
      <c r="H16" s="7">
        <f t="shared" si="0"/>
        <v>3240</v>
      </c>
      <c r="I16" s="7">
        <v>131.91</v>
      </c>
      <c r="J16" s="7">
        <f t="shared" si="1"/>
        <v>1309.2</v>
      </c>
      <c r="K16" s="7">
        <v>193.8</v>
      </c>
      <c r="L16" s="7">
        <f t="shared" si="2"/>
        <v>7426.8</v>
      </c>
      <c r="M16" s="7">
        <v>242.6</v>
      </c>
      <c r="N16" s="7">
        <f t="shared" si="3"/>
        <v>5856</v>
      </c>
      <c r="O16" s="9">
        <v>265.6</v>
      </c>
      <c r="P16" s="7">
        <f t="shared" si="4"/>
        <v>2760</v>
      </c>
      <c r="Q16" s="7">
        <v>339.57</v>
      </c>
      <c r="R16" s="7">
        <f t="shared" si="5"/>
        <v>8876.4</v>
      </c>
      <c r="S16" s="9">
        <v>434.72</v>
      </c>
      <c r="T16" s="7">
        <f t="shared" si="6"/>
        <v>11418</v>
      </c>
      <c r="U16" s="9"/>
      <c r="V16" s="9"/>
      <c r="W16" s="9"/>
      <c r="X16" s="9"/>
      <c r="Y16" s="9"/>
      <c r="Z16" s="9"/>
      <c r="AA16" s="9"/>
      <c r="AB16" s="9"/>
      <c r="AC16" s="9"/>
      <c r="AD16" s="9"/>
      <c r="AE16" s="7"/>
    </row>
    <row r="17" ht="21" customHeight="1" spans="1:31">
      <c r="A17" s="7">
        <v>14</v>
      </c>
      <c r="B17" s="8" t="s">
        <v>55</v>
      </c>
      <c r="C17" s="9" t="s">
        <v>56</v>
      </c>
      <c r="D17" s="9" t="s">
        <v>55</v>
      </c>
      <c r="E17" s="7">
        <v>120</v>
      </c>
      <c r="F17" s="7">
        <v>18.31</v>
      </c>
      <c r="G17" s="7">
        <v>20.78</v>
      </c>
      <c r="H17" s="7">
        <f t="shared" si="0"/>
        <v>296.4</v>
      </c>
      <c r="I17" s="7">
        <v>21.78</v>
      </c>
      <c r="J17" s="7">
        <f t="shared" si="1"/>
        <v>120</v>
      </c>
      <c r="K17" s="7">
        <v>34.2</v>
      </c>
      <c r="L17" s="7">
        <f t="shared" si="2"/>
        <v>1490.4</v>
      </c>
      <c r="M17" s="7">
        <v>57.35</v>
      </c>
      <c r="N17" s="7">
        <f t="shared" si="3"/>
        <v>2778</v>
      </c>
      <c r="O17" s="9">
        <v>73.6</v>
      </c>
      <c r="P17" s="7">
        <f t="shared" si="4"/>
        <v>1950</v>
      </c>
      <c r="Q17" s="7">
        <v>101.2</v>
      </c>
      <c r="R17" s="7">
        <f t="shared" si="5"/>
        <v>3312</v>
      </c>
      <c r="S17" s="9">
        <v>126.68</v>
      </c>
      <c r="T17" s="7">
        <f t="shared" si="6"/>
        <v>3057.6</v>
      </c>
      <c r="U17" s="9"/>
      <c r="V17" s="9"/>
      <c r="W17" s="9"/>
      <c r="X17" s="9"/>
      <c r="Y17" s="9"/>
      <c r="Z17" s="9"/>
      <c r="AA17" s="9"/>
      <c r="AB17" s="9"/>
      <c r="AC17" s="9"/>
      <c r="AD17" s="9"/>
      <c r="AE17" s="7"/>
    </row>
    <row r="18" ht="21" customHeight="1" spans="1:31">
      <c r="A18" s="7">
        <v>15</v>
      </c>
      <c r="B18" s="8" t="s">
        <v>57</v>
      </c>
      <c r="C18" s="9" t="s">
        <v>58</v>
      </c>
      <c r="D18" s="9" t="s">
        <v>59</v>
      </c>
      <c r="E18" s="7">
        <v>200</v>
      </c>
      <c r="F18" s="7">
        <v>16.93</v>
      </c>
      <c r="G18" s="7">
        <v>18.72</v>
      </c>
      <c r="H18" s="7">
        <f t="shared" si="0"/>
        <v>358</v>
      </c>
      <c r="I18" s="7">
        <v>19.82</v>
      </c>
      <c r="J18" s="7">
        <f t="shared" si="1"/>
        <v>220</v>
      </c>
      <c r="K18" s="7">
        <v>21.9</v>
      </c>
      <c r="L18" s="7">
        <f t="shared" si="2"/>
        <v>416</v>
      </c>
      <c r="M18" s="7">
        <v>23.16</v>
      </c>
      <c r="N18" s="7">
        <f t="shared" si="3"/>
        <v>252</v>
      </c>
      <c r="O18" s="9">
        <v>23.7</v>
      </c>
      <c r="P18" s="7">
        <f t="shared" si="4"/>
        <v>108</v>
      </c>
      <c r="Q18" s="7">
        <v>25.9</v>
      </c>
      <c r="R18" s="7">
        <f t="shared" si="5"/>
        <v>440</v>
      </c>
      <c r="S18" s="9">
        <v>25.52</v>
      </c>
      <c r="T18" s="7">
        <f t="shared" si="6"/>
        <v>-75.9999999999998</v>
      </c>
      <c r="U18" s="9"/>
      <c r="V18" s="9"/>
      <c r="W18" s="9"/>
      <c r="X18" s="9"/>
      <c r="Y18" s="9"/>
      <c r="Z18" s="9"/>
      <c r="AA18" s="9"/>
      <c r="AB18" s="9"/>
      <c r="AC18" s="9"/>
      <c r="AD18" s="9"/>
      <c r="AE18" s="7"/>
    </row>
    <row r="19" ht="21" customHeight="1" spans="1:31">
      <c r="A19" s="7">
        <v>16</v>
      </c>
      <c r="B19" s="9" t="s">
        <v>60</v>
      </c>
      <c r="C19" s="9" t="s">
        <v>61</v>
      </c>
      <c r="D19" s="9" t="s">
        <v>60</v>
      </c>
      <c r="E19" s="7">
        <v>200</v>
      </c>
      <c r="F19" s="7">
        <v>76</v>
      </c>
      <c r="G19" s="7">
        <v>81</v>
      </c>
      <c r="H19" s="7">
        <f t="shared" si="0"/>
        <v>1000</v>
      </c>
      <c r="I19" s="7">
        <v>83.58</v>
      </c>
      <c r="J19" s="7">
        <f t="shared" si="1"/>
        <v>516</v>
      </c>
      <c r="K19" s="7">
        <v>87.6</v>
      </c>
      <c r="L19" s="7">
        <f t="shared" si="2"/>
        <v>803.999999999999</v>
      </c>
      <c r="M19" s="7">
        <v>92.38</v>
      </c>
      <c r="N19" s="7">
        <f t="shared" si="3"/>
        <v>956</v>
      </c>
      <c r="O19" s="9">
        <v>95.5</v>
      </c>
      <c r="P19" s="7">
        <f t="shared" si="4"/>
        <v>624.000000000001</v>
      </c>
      <c r="Q19" s="7">
        <v>99.24</v>
      </c>
      <c r="R19" s="7">
        <f t="shared" si="5"/>
        <v>747.999999999999</v>
      </c>
      <c r="S19" s="9">
        <v>125.71</v>
      </c>
      <c r="T19" s="7">
        <f t="shared" si="6"/>
        <v>5294</v>
      </c>
      <c r="U19" s="9"/>
      <c r="V19" s="9"/>
      <c r="W19" s="9"/>
      <c r="X19" s="9"/>
      <c r="Y19" s="9"/>
      <c r="Z19" s="9"/>
      <c r="AA19" s="9"/>
      <c r="AB19" s="9"/>
      <c r="AC19" s="9"/>
      <c r="AD19" s="9"/>
      <c r="AE19" s="7"/>
    </row>
    <row r="20" ht="21" customHeight="1" spans="1:31">
      <c r="A20" s="7">
        <v>17</v>
      </c>
      <c r="B20" s="8" t="s">
        <v>62</v>
      </c>
      <c r="C20" s="9" t="s">
        <v>61</v>
      </c>
      <c r="D20" s="9" t="s">
        <v>63</v>
      </c>
      <c r="E20" s="7">
        <v>1</v>
      </c>
      <c r="F20" s="7">
        <v>0</v>
      </c>
      <c r="G20" s="7">
        <v>16967</v>
      </c>
      <c r="H20" s="7">
        <f t="shared" si="0"/>
        <v>16967</v>
      </c>
      <c r="I20" s="7">
        <v>19858</v>
      </c>
      <c r="J20" s="7">
        <f t="shared" si="1"/>
        <v>2891</v>
      </c>
      <c r="K20" s="7">
        <v>24475</v>
      </c>
      <c r="L20" s="7">
        <f t="shared" si="2"/>
        <v>4617</v>
      </c>
      <c r="M20" s="7">
        <v>30017</v>
      </c>
      <c r="N20" s="7">
        <f t="shared" si="3"/>
        <v>5542</v>
      </c>
      <c r="O20" s="9">
        <v>34430</v>
      </c>
      <c r="P20" s="7">
        <f t="shared" si="4"/>
        <v>4413</v>
      </c>
      <c r="Q20" s="7">
        <v>40892</v>
      </c>
      <c r="R20" s="7">
        <f t="shared" si="5"/>
        <v>6462</v>
      </c>
      <c r="S20" s="9">
        <v>48320</v>
      </c>
      <c r="T20" s="7">
        <f t="shared" si="6"/>
        <v>7428</v>
      </c>
      <c r="U20" s="9"/>
      <c r="V20" s="9"/>
      <c r="W20" s="9"/>
      <c r="X20" s="9"/>
      <c r="Y20" s="9"/>
      <c r="Z20" s="9"/>
      <c r="AA20" s="9"/>
      <c r="AB20" s="9"/>
      <c r="AC20" s="9"/>
      <c r="AD20" s="9"/>
      <c r="AE20" s="7"/>
    </row>
    <row r="21" ht="21" customHeight="1" spans="1:31">
      <c r="A21" s="7">
        <v>18</v>
      </c>
      <c r="B21" s="8" t="s">
        <v>64</v>
      </c>
      <c r="C21" s="9" t="s">
        <v>65</v>
      </c>
      <c r="D21" s="9" t="s">
        <v>66</v>
      </c>
      <c r="E21" s="7">
        <v>120</v>
      </c>
      <c r="F21" s="7">
        <v>2105</v>
      </c>
      <c r="G21" s="7">
        <v>2572</v>
      </c>
      <c r="H21" s="7">
        <f t="shared" si="0"/>
        <v>56040</v>
      </c>
      <c r="I21" s="7">
        <v>2781.81</v>
      </c>
      <c r="J21" s="7">
        <f t="shared" si="1"/>
        <v>25177.2</v>
      </c>
      <c r="K21" s="7">
        <v>3242.7</v>
      </c>
      <c r="L21" s="7">
        <f t="shared" si="2"/>
        <v>55306.8</v>
      </c>
      <c r="M21" s="7">
        <v>3808.3</v>
      </c>
      <c r="N21" s="7">
        <f t="shared" si="3"/>
        <v>67872</v>
      </c>
      <c r="O21" s="9">
        <v>4232</v>
      </c>
      <c r="P21" s="7">
        <f t="shared" si="4"/>
        <v>50844</v>
      </c>
      <c r="Q21" s="7">
        <v>4778.5</v>
      </c>
      <c r="R21" s="7">
        <f t="shared" si="5"/>
        <v>65580</v>
      </c>
      <c r="S21" s="9">
        <v>5499.65</v>
      </c>
      <c r="T21" s="7">
        <f t="shared" si="6"/>
        <v>86538</v>
      </c>
      <c r="U21" s="9"/>
      <c r="V21" s="9"/>
      <c r="W21" s="9"/>
      <c r="X21" s="9"/>
      <c r="Y21" s="9"/>
      <c r="Z21" s="9"/>
      <c r="AA21" s="9"/>
      <c r="AB21" s="9"/>
      <c r="AC21" s="9"/>
      <c r="AD21" s="9"/>
      <c r="AE21" s="7"/>
    </row>
    <row r="22" ht="21" customHeight="1" spans="1:31">
      <c r="A22" s="7">
        <v>19</v>
      </c>
      <c r="B22" s="8" t="s">
        <v>57</v>
      </c>
      <c r="C22" s="9" t="s">
        <v>67</v>
      </c>
      <c r="D22" s="9" t="s">
        <v>68</v>
      </c>
      <c r="E22" s="7">
        <v>1</v>
      </c>
      <c r="F22" s="7">
        <v>138</v>
      </c>
      <c r="G22" s="7">
        <v>385</v>
      </c>
      <c r="H22" s="7">
        <f t="shared" si="0"/>
        <v>247</v>
      </c>
      <c r="I22" s="7">
        <v>521</v>
      </c>
      <c r="J22" s="7">
        <f t="shared" si="1"/>
        <v>136</v>
      </c>
      <c r="K22" s="7">
        <v>749</v>
      </c>
      <c r="L22" s="7">
        <f t="shared" si="2"/>
        <v>228</v>
      </c>
      <c r="M22" s="7">
        <v>1030</v>
      </c>
      <c r="N22" s="7">
        <f t="shared" si="3"/>
        <v>281</v>
      </c>
      <c r="O22" s="9">
        <v>1216</v>
      </c>
      <c r="P22" s="7">
        <f t="shared" si="4"/>
        <v>186</v>
      </c>
      <c r="Q22" s="7">
        <v>1416</v>
      </c>
      <c r="R22" s="7">
        <f t="shared" si="5"/>
        <v>200</v>
      </c>
      <c r="S22" s="10">
        <v>252</v>
      </c>
      <c r="T22" s="7">
        <f t="shared" si="6"/>
        <v>-1164</v>
      </c>
      <c r="U22" s="9"/>
      <c r="V22" s="9"/>
      <c r="W22" s="9"/>
      <c r="X22" s="9"/>
      <c r="Y22" s="9"/>
      <c r="Z22" s="9"/>
      <c r="AA22" s="9"/>
      <c r="AB22" s="9"/>
      <c r="AC22" s="9"/>
      <c r="AD22" s="9"/>
      <c r="AE22" s="7"/>
    </row>
    <row r="23" ht="21" customHeight="1" spans="1:31">
      <c r="A23" s="7">
        <v>20</v>
      </c>
      <c r="B23" s="8" t="s">
        <v>45</v>
      </c>
      <c r="C23" s="9" t="s">
        <v>69</v>
      </c>
      <c r="D23" s="9" t="s">
        <v>70</v>
      </c>
      <c r="E23" s="7">
        <v>1</v>
      </c>
      <c r="F23" s="7">
        <v>21643</v>
      </c>
      <c r="G23" s="7">
        <v>33740</v>
      </c>
      <c r="H23" s="7">
        <f t="shared" si="0"/>
        <v>12097</v>
      </c>
      <c r="I23" s="7">
        <v>38100</v>
      </c>
      <c r="J23" s="7">
        <f t="shared" si="1"/>
        <v>4360</v>
      </c>
      <c r="K23" s="7">
        <v>42529</v>
      </c>
      <c r="L23" s="7">
        <f t="shared" si="2"/>
        <v>4429</v>
      </c>
      <c r="M23" s="7">
        <v>52780</v>
      </c>
      <c r="N23" s="7">
        <f t="shared" si="3"/>
        <v>10251</v>
      </c>
      <c r="O23" s="9">
        <v>61363</v>
      </c>
      <c r="P23" s="7">
        <f t="shared" si="4"/>
        <v>8583</v>
      </c>
      <c r="Q23" s="7">
        <v>64144</v>
      </c>
      <c r="R23" s="7">
        <f t="shared" si="5"/>
        <v>2781</v>
      </c>
      <c r="S23" s="11">
        <v>11726.4</v>
      </c>
      <c r="T23" s="7">
        <f t="shared" si="6"/>
        <v>-52417.6</v>
      </c>
      <c r="U23" s="9"/>
      <c r="V23" s="9"/>
      <c r="W23" s="9"/>
      <c r="X23" s="9"/>
      <c r="Y23" s="9"/>
      <c r="Z23" s="9"/>
      <c r="AA23" s="9"/>
      <c r="AB23" s="9"/>
      <c r="AC23" s="9"/>
      <c r="AD23" s="9"/>
      <c r="AE23" s="7"/>
    </row>
    <row r="24" ht="21" customHeight="1" spans="1:31">
      <c r="A24" s="7">
        <v>21</v>
      </c>
      <c r="B24" s="8" t="s">
        <v>71</v>
      </c>
      <c r="C24" s="9" t="s">
        <v>72</v>
      </c>
      <c r="D24" s="9" t="s">
        <v>71</v>
      </c>
      <c r="E24" s="7">
        <v>120</v>
      </c>
      <c r="F24" s="7">
        <v>60</v>
      </c>
      <c r="G24" s="7">
        <v>72</v>
      </c>
      <c r="H24" s="7">
        <f t="shared" si="0"/>
        <v>1440</v>
      </c>
      <c r="I24" s="7">
        <v>79.95</v>
      </c>
      <c r="J24" s="7">
        <f t="shared" si="1"/>
        <v>954</v>
      </c>
      <c r="K24" s="7">
        <v>103.8</v>
      </c>
      <c r="L24" s="7">
        <f t="shared" si="2"/>
        <v>2862</v>
      </c>
      <c r="M24" s="7">
        <v>131.39</v>
      </c>
      <c r="N24" s="7">
        <f t="shared" si="3"/>
        <v>3310.8</v>
      </c>
      <c r="O24" s="9">
        <v>152</v>
      </c>
      <c r="P24" s="7">
        <f t="shared" si="4"/>
        <v>2473.2</v>
      </c>
      <c r="Q24" s="7">
        <v>174.5</v>
      </c>
      <c r="R24" s="7">
        <f t="shared" si="5"/>
        <v>2700</v>
      </c>
      <c r="S24" s="9">
        <v>199.59</v>
      </c>
      <c r="T24" s="7">
        <f t="shared" si="6"/>
        <v>3010.8</v>
      </c>
      <c r="U24" s="9"/>
      <c r="V24" s="9"/>
      <c r="W24" s="9"/>
      <c r="X24" s="9"/>
      <c r="Y24" s="9"/>
      <c r="Z24" s="9"/>
      <c r="AA24" s="9"/>
      <c r="AB24" s="9"/>
      <c r="AC24" s="9"/>
      <c r="AD24" s="9"/>
      <c r="AE24" s="7"/>
    </row>
    <row r="25" ht="21" customHeight="1" spans="1:31">
      <c r="A25" s="7">
        <v>22</v>
      </c>
      <c r="B25" s="8" t="s">
        <v>51</v>
      </c>
      <c r="C25" s="9" t="s">
        <v>73</v>
      </c>
      <c r="D25" s="9" t="s">
        <v>53</v>
      </c>
      <c r="E25" s="7">
        <v>120</v>
      </c>
      <c r="F25" s="7">
        <v>0</v>
      </c>
      <c r="G25" s="7">
        <v>1</v>
      </c>
      <c r="H25" s="7">
        <f t="shared" si="0"/>
        <v>120</v>
      </c>
      <c r="I25" s="7">
        <v>1.4</v>
      </c>
      <c r="J25" s="7">
        <f t="shared" si="1"/>
        <v>48</v>
      </c>
      <c r="K25" s="7">
        <v>1.4</v>
      </c>
      <c r="L25" s="7">
        <f t="shared" si="2"/>
        <v>0</v>
      </c>
      <c r="M25" s="7">
        <v>1.4</v>
      </c>
      <c r="N25" s="7">
        <f t="shared" si="3"/>
        <v>0</v>
      </c>
      <c r="O25" s="9">
        <v>1.4</v>
      </c>
      <c r="P25" s="7">
        <f t="shared" si="4"/>
        <v>0</v>
      </c>
      <c r="Q25" s="7">
        <v>1.8</v>
      </c>
      <c r="R25" s="7">
        <f t="shared" si="5"/>
        <v>48</v>
      </c>
      <c r="S25" s="9">
        <v>21.8</v>
      </c>
      <c r="T25" s="7">
        <f t="shared" si="6"/>
        <v>2400</v>
      </c>
      <c r="U25" s="9"/>
      <c r="V25" s="9"/>
      <c r="W25" s="9"/>
      <c r="X25" s="9"/>
      <c r="Y25" s="9"/>
      <c r="Z25" s="9"/>
      <c r="AA25" s="9"/>
      <c r="AB25" s="9"/>
      <c r="AC25" s="9"/>
      <c r="AD25" s="9"/>
      <c r="AE25" s="7"/>
    </row>
    <row r="26" ht="21" customHeight="1" spans="1:31">
      <c r="A26" s="7">
        <v>23</v>
      </c>
      <c r="B26" s="9" t="s">
        <v>74</v>
      </c>
      <c r="C26" s="9" t="s">
        <v>67</v>
      </c>
      <c r="D26" s="9" t="s">
        <v>74</v>
      </c>
      <c r="E26" s="7">
        <v>1</v>
      </c>
      <c r="F26" s="7">
        <v>0</v>
      </c>
      <c r="G26" s="7">
        <v>5200</v>
      </c>
      <c r="H26" s="7">
        <f t="shared" si="0"/>
        <v>5200</v>
      </c>
      <c r="I26" s="7">
        <v>5262</v>
      </c>
      <c r="J26" s="7">
        <f t="shared" si="1"/>
        <v>62</v>
      </c>
      <c r="K26" s="7">
        <v>5327</v>
      </c>
      <c r="L26" s="7">
        <f t="shared" si="2"/>
        <v>65</v>
      </c>
      <c r="M26" s="7">
        <v>5416</v>
      </c>
      <c r="N26" s="7">
        <f t="shared" si="3"/>
        <v>89</v>
      </c>
      <c r="O26" s="9">
        <v>5475</v>
      </c>
      <c r="P26" s="7">
        <f t="shared" si="4"/>
        <v>59</v>
      </c>
      <c r="Q26" s="7">
        <v>5479</v>
      </c>
      <c r="R26" s="7">
        <f t="shared" si="5"/>
        <v>4</v>
      </c>
      <c r="S26" s="9">
        <v>7687</v>
      </c>
      <c r="T26" s="7">
        <f t="shared" si="6"/>
        <v>2208</v>
      </c>
      <c r="U26" s="9"/>
      <c r="V26" s="9"/>
      <c r="W26" s="9"/>
      <c r="X26" s="9"/>
      <c r="Y26" s="9"/>
      <c r="Z26" s="9"/>
      <c r="AA26" s="9"/>
      <c r="AB26" s="9"/>
      <c r="AC26" s="9"/>
      <c r="AD26" s="9"/>
      <c r="AE26" s="7"/>
    </row>
    <row r="27" ht="21" customHeight="1" spans="1:31">
      <c r="A27" s="7">
        <v>24</v>
      </c>
      <c r="B27" s="8" t="s">
        <v>48</v>
      </c>
      <c r="C27" s="9" t="s">
        <v>75</v>
      </c>
      <c r="D27" s="9" t="s">
        <v>76</v>
      </c>
      <c r="E27" s="7">
        <v>120</v>
      </c>
      <c r="F27" s="7">
        <v>0</v>
      </c>
      <c r="G27" s="7">
        <v>33</v>
      </c>
      <c r="H27" s="7">
        <f t="shared" si="0"/>
        <v>3960</v>
      </c>
      <c r="I27" s="7">
        <v>42</v>
      </c>
      <c r="J27" s="7">
        <f t="shared" si="1"/>
        <v>1080</v>
      </c>
      <c r="K27" s="7">
        <v>52</v>
      </c>
      <c r="L27" s="7">
        <f t="shared" si="2"/>
        <v>1200</v>
      </c>
      <c r="M27" s="7">
        <v>54</v>
      </c>
      <c r="N27" s="7">
        <f t="shared" si="3"/>
        <v>240</v>
      </c>
      <c r="O27" s="9">
        <v>55</v>
      </c>
      <c r="P27" s="7">
        <f t="shared" si="4"/>
        <v>120</v>
      </c>
      <c r="Q27" s="7">
        <v>57.8</v>
      </c>
      <c r="R27" s="7">
        <f t="shared" si="5"/>
        <v>336</v>
      </c>
      <c r="S27" s="9">
        <v>58.2</v>
      </c>
      <c r="T27" s="7">
        <f t="shared" si="6"/>
        <v>48.0000000000007</v>
      </c>
      <c r="U27" s="9"/>
      <c r="V27" s="9"/>
      <c r="W27" s="9"/>
      <c r="X27" s="9"/>
      <c r="Y27" s="9"/>
      <c r="Z27" s="9"/>
      <c r="AA27" s="9"/>
      <c r="AB27" s="9"/>
      <c r="AC27" s="9"/>
      <c r="AD27" s="9"/>
      <c r="AE27" s="7"/>
    </row>
    <row r="28" ht="21" customHeight="1" spans="1:31">
      <c r="A28" s="7">
        <v>25</v>
      </c>
      <c r="B28" s="8" t="s">
        <v>51</v>
      </c>
      <c r="C28" s="9" t="s">
        <v>77</v>
      </c>
      <c r="D28" s="9" t="s">
        <v>53</v>
      </c>
      <c r="E28" s="7">
        <v>120</v>
      </c>
      <c r="F28" s="7">
        <v>0</v>
      </c>
      <c r="G28" s="7">
        <v>44</v>
      </c>
      <c r="H28" s="7">
        <f t="shared" si="0"/>
        <v>5280</v>
      </c>
      <c r="I28" s="7">
        <v>64</v>
      </c>
      <c r="J28" s="7">
        <f t="shared" si="1"/>
        <v>2400</v>
      </c>
      <c r="K28" s="7">
        <v>88</v>
      </c>
      <c r="L28" s="7">
        <f t="shared" si="2"/>
        <v>2880</v>
      </c>
      <c r="M28" s="7">
        <v>136</v>
      </c>
      <c r="N28" s="7">
        <f t="shared" si="3"/>
        <v>5760</v>
      </c>
      <c r="O28" s="9">
        <v>136</v>
      </c>
      <c r="P28" s="7">
        <f t="shared" si="4"/>
        <v>0</v>
      </c>
      <c r="Q28" s="7">
        <v>201.9</v>
      </c>
      <c r="R28" s="7">
        <f t="shared" si="5"/>
        <v>7908</v>
      </c>
      <c r="S28" s="9">
        <v>280.4</v>
      </c>
      <c r="T28" s="7">
        <f t="shared" si="6"/>
        <v>9420</v>
      </c>
      <c r="U28" s="9"/>
      <c r="V28" s="9"/>
      <c r="W28" s="9"/>
      <c r="X28" s="9"/>
      <c r="Y28" s="9"/>
      <c r="Z28" s="9"/>
      <c r="AA28" s="9"/>
      <c r="AB28" s="9"/>
      <c r="AC28" s="9"/>
      <c r="AD28" s="9"/>
      <c r="AE28" s="7"/>
    </row>
    <row r="29" s="1" customFormat="1" ht="21" customHeight="1" spans="1:31">
      <c r="A29" s="8">
        <v>26</v>
      </c>
      <c r="B29" s="8" t="s">
        <v>78</v>
      </c>
      <c r="C29" s="8" t="s">
        <v>79</v>
      </c>
      <c r="D29" s="8" t="s">
        <v>78</v>
      </c>
      <c r="E29" s="8">
        <v>1</v>
      </c>
      <c r="F29" s="8">
        <v>739</v>
      </c>
      <c r="G29" s="8">
        <v>787</v>
      </c>
      <c r="H29" s="8">
        <f t="shared" si="0"/>
        <v>48</v>
      </c>
      <c r="I29" s="8">
        <v>801</v>
      </c>
      <c r="J29" s="8">
        <f t="shared" si="1"/>
        <v>14</v>
      </c>
      <c r="K29" s="8">
        <v>865</v>
      </c>
      <c r="L29" s="8">
        <f t="shared" si="2"/>
        <v>64</v>
      </c>
      <c r="M29" s="8">
        <v>880</v>
      </c>
      <c r="N29" s="8">
        <f t="shared" si="3"/>
        <v>15</v>
      </c>
      <c r="O29" s="8">
        <v>966</v>
      </c>
      <c r="P29" s="8">
        <f t="shared" si="4"/>
        <v>86</v>
      </c>
      <c r="Q29" s="8">
        <v>966</v>
      </c>
      <c r="R29" s="8">
        <f t="shared" si="5"/>
        <v>0</v>
      </c>
      <c r="S29" s="8">
        <v>966</v>
      </c>
      <c r="T29" s="8">
        <f t="shared" si="6"/>
        <v>0</v>
      </c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ht="21" customHeight="1" spans="1:31">
      <c r="A30" s="7">
        <v>27</v>
      </c>
      <c r="B30" s="8" t="s">
        <v>80</v>
      </c>
      <c r="C30" s="9" t="s">
        <v>81</v>
      </c>
      <c r="D30" s="9" t="s">
        <v>82</v>
      </c>
      <c r="E30" s="7">
        <v>1</v>
      </c>
      <c r="F30" s="7">
        <v>150020</v>
      </c>
      <c r="G30" s="7">
        <v>239523</v>
      </c>
      <c r="H30" s="7">
        <f t="shared" si="0"/>
        <v>89503</v>
      </c>
      <c r="I30" s="7">
        <v>241192</v>
      </c>
      <c r="J30" s="7">
        <f t="shared" si="1"/>
        <v>1669</v>
      </c>
      <c r="K30" s="7">
        <v>241588</v>
      </c>
      <c r="L30" s="7">
        <f t="shared" si="2"/>
        <v>396</v>
      </c>
      <c r="M30" s="7">
        <v>242510</v>
      </c>
      <c r="N30" s="7">
        <f t="shared" si="3"/>
        <v>922</v>
      </c>
      <c r="O30" s="9">
        <v>242940</v>
      </c>
      <c r="P30" s="7">
        <f t="shared" si="4"/>
        <v>430</v>
      </c>
      <c r="Q30" s="7">
        <v>243784</v>
      </c>
      <c r="R30" s="7">
        <f t="shared" si="5"/>
        <v>844</v>
      </c>
      <c r="S30" s="9">
        <v>244192</v>
      </c>
      <c r="T30" s="7">
        <f t="shared" si="6"/>
        <v>408</v>
      </c>
      <c r="U30" s="9"/>
      <c r="V30" s="9"/>
      <c r="W30" s="9"/>
      <c r="X30" s="9"/>
      <c r="Y30" s="9"/>
      <c r="Z30" s="9"/>
      <c r="AA30" s="9"/>
      <c r="AB30" s="9"/>
      <c r="AC30" s="9"/>
      <c r="AD30" s="9"/>
      <c r="AE30" s="7"/>
    </row>
    <row r="31" ht="21" customHeight="1" spans="1:31">
      <c r="A31" s="7">
        <v>28</v>
      </c>
      <c r="B31" s="8"/>
      <c r="C31" s="9" t="s">
        <v>83</v>
      </c>
      <c r="D31" s="9" t="s">
        <v>84</v>
      </c>
      <c r="E31" s="7">
        <v>1</v>
      </c>
      <c r="F31" s="7">
        <v>9081</v>
      </c>
      <c r="G31" s="7">
        <v>9990</v>
      </c>
      <c r="H31" s="7">
        <f t="shared" si="0"/>
        <v>909</v>
      </c>
      <c r="I31" s="7">
        <v>14043</v>
      </c>
      <c r="J31" s="7">
        <f t="shared" si="1"/>
        <v>4053</v>
      </c>
      <c r="K31" s="7">
        <v>163864</v>
      </c>
      <c r="L31" s="7">
        <f t="shared" si="2"/>
        <v>149821</v>
      </c>
      <c r="M31" s="7">
        <v>311905</v>
      </c>
      <c r="N31" s="7">
        <f t="shared" si="3"/>
        <v>148041</v>
      </c>
      <c r="O31" s="9">
        <v>374033</v>
      </c>
      <c r="P31" s="7">
        <f t="shared" si="4"/>
        <v>62128</v>
      </c>
      <c r="Q31" s="7">
        <v>507312</v>
      </c>
      <c r="R31" s="7">
        <f t="shared" si="5"/>
        <v>133279</v>
      </c>
      <c r="S31" s="9">
        <v>575257.6</v>
      </c>
      <c r="T31" s="7">
        <f t="shared" si="6"/>
        <v>67945.6</v>
      </c>
      <c r="U31" s="9"/>
      <c r="V31" s="9"/>
      <c r="W31" s="9"/>
      <c r="X31" s="9"/>
      <c r="Y31" s="9"/>
      <c r="Z31" s="9"/>
      <c r="AA31" s="9"/>
      <c r="AB31" s="9"/>
      <c r="AC31" s="9"/>
      <c r="AD31" s="9"/>
      <c r="AE31" s="7"/>
    </row>
    <row r="32" ht="21" customHeight="1" spans="1:31">
      <c r="A32" s="7">
        <v>29</v>
      </c>
      <c r="B32" s="7" t="s">
        <v>85</v>
      </c>
      <c r="C32" s="7" t="s">
        <v>86</v>
      </c>
      <c r="D32" s="7" t="s">
        <v>87</v>
      </c>
      <c r="E32" s="7">
        <v>1</v>
      </c>
      <c r="F32" s="7">
        <v>26188</v>
      </c>
      <c r="G32" s="7">
        <v>36580</v>
      </c>
      <c r="H32" s="7">
        <f t="shared" si="0"/>
        <v>10392</v>
      </c>
      <c r="I32" s="7">
        <v>39524.8</v>
      </c>
      <c r="J32" s="7">
        <f t="shared" si="1"/>
        <v>2944.8</v>
      </c>
      <c r="K32" s="7">
        <v>46622</v>
      </c>
      <c r="L32" s="7">
        <f t="shared" si="2"/>
        <v>7097.2</v>
      </c>
      <c r="M32" s="7">
        <v>53821</v>
      </c>
      <c r="N32" s="7">
        <f t="shared" si="3"/>
        <v>7199</v>
      </c>
      <c r="O32" s="9">
        <v>59528</v>
      </c>
      <c r="P32" s="7">
        <f t="shared" si="4"/>
        <v>5707</v>
      </c>
      <c r="Q32" s="7">
        <v>70540</v>
      </c>
      <c r="R32" s="7">
        <f t="shared" si="5"/>
        <v>11012</v>
      </c>
      <c r="S32" s="7">
        <v>82656</v>
      </c>
      <c r="T32" s="7">
        <f t="shared" si="6"/>
        <v>12116</v>
      </c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21" customHeight="1" spans="1:31">
      <c r="A33" s="7">
        <v>30</v>
      </c>
      <c r="B33" s="8" t="s">
        <v>88</v>
      </c>
      <c r="C33" s="7" t="s">
        <v>89</v>
      </c>
      <c r="D33" s="7" t="s">
        <v>90</v>
      </c>
      <c r="E33" s="7">
        <v>1</v>
      </c>
      <c r="F33" s="7">
        <v>10471</v>
      </c>
      <c r="G33" s="7">
        <v>11364</v>
      </c>
      <c r="H33" s="7">
        <f t="shared" si="0"/>
        <v>893</v>
      </c>
      <c r="I33" s="7">
        <v>12012</v>
      </c>
      <c r="J33" s="7">
        <f t="shared" si="1"/>
        <v>648</v>
      </c>
      <c r="K33" s="7">
        <v>12750</v>
      </c>
      <c r="L33" s="7">
        <f t="shared" si="2"/>
        <v>738</v>
      </c>
      <c r="M33" s="7">
        <v>13803</v>
      </c>
      <c r="N33" s="7">
        <f t="shared" si="3"/>
        <v>1053</v>
      </c>
      <c r="O33" s="7">
        <v>14629</v>
      </c>
      <c r="P33" s="7">
        <f t="shared" si="4"/>
        <v>826</v>
      </c>
      <c r="Q33" s="7">
        <v>15747.2</v>
      </c>
      <c r="R33" s="7">
        <f t="shared" si="5"/>
        <v>1118.2</v>
      </c>
      <c r="S33" s="7">
        <v>19272</v>
      </c>
      <c r="T33" s="7">
        <f t="shared" si="6"/>
        <v>3524.8</v>
      </c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21" customHeight="1" spans="1:31">
      <c r="A34" s="7">
        <v>31</v>
      </c>
      <c r="B34" s="8"/>
      <c r="C34" s="7" t="s">
        <v>91</v>
      </c>
      <c r="D34" s="7" t="s">
        <v>92</v>
      </c>
      <c r="E34" s="7">
        <v>1</v>
      </c>
      <c r="F34" s="7">
        <v>1680</v>
      </c>
      <c r="G34" s="7">
        <v>2152</v>
      </c>
      <c r="H34" s="7">
        <f t="shared" si="0"/>
        <v>472</v>
      </c>
      <c r="I34" s="7">
        <v>2409.6</v>
      </c>
      <c r="J34" s="7">
        <f t="shared" si="1"/>
        <v>257.6</v>
      </c>
      <c r="K34" s="7">
        <v>2854</v>
      </c>
      <c r="L34" s="7">
        <f t="shared" si="2"/>
        <v>444.4</v>
      </c>
      <c r="M34" s="7">
        <v>3361</v>
      </c>
      <c r="N34" s="7">
        <f t="shared" si="3"/>
        <v>507</v>
      </c>
      <c r="O34" s="7">
        <v>3672</v>
      </c>
      <c r="P34" s="7">
        <f t="shared" si="4"/>
        <v>311</v>
      </c>
      <c r="Q34" s="7">
        <v>4109.6</v>
      </c>
      <c r="R34" s="7">
        <f t="shared" si="5"/>
        <v>437.6</v>
      </c>
      <c r="S34" s="7">
        <v>4944.8</v>
      </c>
      <c r="T34" s="7">
        <f t="shared" si="6"/>
        <v>835.2</v>
      </c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21" customHeight="1" spans="1:31">
      <c r="A35" s="7">
        <v>32</v>
      </c>
      <c r="B35" s="8" t="s">
        <v>93</v>
      </c>
      <c r="C35" s="7" t="s">
        <v>94</v>
      </c>
      <c r="D35" s="7" t="s">
        <v>93</v>
      </c>
      <c r="E35" s="7">
        <v>1</v>
      </c>
      <c r="F35" s="7">
        <v>13263</v>
      </c>
      <c r="G35" s="7">
        <v>15355</v>
      </c>
      <c r="H35" s="7">
        <f t="shared" si="0"/>
        <v>2092</v>
      </c>
      <c r="I35" s="7">
        <v>16153.8</v>
      </c>
      <c r="J35" s="7">
        <f t="shared" si="1"/>
        <v>798.799999999999</v>
      </c>
      <c r="K35" s="7">
        <v>17113</v>
      </c>
      <c r="L35" s="7">
        <f t="shared" si="2"/>
        <v>959.200000000001</v>
      </c>
      <c r="M35" s="7">
        <v>18359</v>
      </c>
      <c r="N35" s="7">
        <f t="shared" si="3"/>
        <v>1246</v>
      </c>
      <c r="O35" s="7">
        <v>19064</v>
      </c>
      <c r="P35" s="7">
        <f t="shared" si="4"/>
        <v>705</v>
      </c>
      <c r="Q35" s="7">
        <v>20487.6</v>
      </c>
      <c r="R35" s="7">
        <f t="shared" si="5"/>
        <v>1423.6</v>
      </c>
      <c r="S35" s="7">
        <v>23136.6</v>
      </c>
      <c r="T35" s="7">
        <f t="shared" si="6"/>
        <v>2649</v>
      </c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ht="21" customHeight="1" spans="1:31">
      <c r="A36" s="7">
        <v>33</v>
      </c>
      <c r="B36" s="8" t="s">
        <v>88</v>
      </c>
      <c r="C36" s="7" t="s">
        <v>95</v>
      </c>
      <c r="D36" s="7" t="s">
        <v>96</v>
      </c>
      <c r="E36" s="7">
        <v>1</v>
      </c>
      <c r="F36" s="7">
        <v>1213</v>
      </c>
      <c r="G36" s="7">
        <v>1608</v>
      </c>
      <c r="H36" s="7">
        <f t="shared" si="0"/>
        <v>395</v>
      </c>
      <c r="I36" s="7">
        <v>1851</v>
      </c>
      <c r="J36" s="7">
        <f t="shared" si="1"/>
        <v>243</v>
      </c>
      <c r="K36" s="7">
        <v>2290</v>
      </c>
      <c r="L36" s="7">
        <f t="shared" si="2"/>
        <v>439</v>
      </c>
      <c r="M36" s="7">
        <v>2757</v>
      </c>
      <c r="N36" s="7">
        <f t="shared" si="3"/>
        <v>467</v>
      </c>
      <c r="O36" s="7">
        <v>3039</v>
      </c>
      <c r="P36" s="7">
        <f t="shared" si="4"/>
        <v>282</v>
      </c>
      <c r="Q36" s="7">
        <v>3411</v>
      </c>
      <c r="R36" s="7">
        <f t="shared" si="5"/>
        <v>372</v>
      </c>
      <c r="S36" s="7">
        <v>3797.2</v>
      </c>
      <c r="T36" s="7">
        <f t="shared" si="6"/>
        <v>386.2</v>
      </c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ht="21" customHeight="1" spans="1:31">
      <c r="A37" s="7">
        <v>34</v>
      </c>
      <c r="B37" s="8"/>
      <c r="C37" s="7" t="s">
        <v>97</v>
      </c>
      <c r="D37" s="7" t="s">
        <v>98</v>
      </c>
      <c r="E37" s="7">
        <v>1</v>
      </c>
      <c r="F37" s="7">
        <v>262</v>
      </c>
      <c r="G37" s="7">
        <v>405</v>
      </c>
      <c r="H37" s="7">
        <f t="shared" si="0"/>
        <v>143</v>
      </c>
      <c r="I37" s="7">
        <v>410</v>
      </c>
      <c r="J37" s="7">
        <f t="shared" si="1"/>
        <v>5</v>
      </c>
      <c r="K37" s="7">
        <v>416</v>
      </c>
      <c r="L37" s="7">
        <f t="shared" si="2"/>
        <v>6</v>
      </c>
      <c r="M37" s="7">
        <v>446</v>
      </c>
      <c r="N37" s="7">
        <f t="shared" si="3"/>
        <v>30</v>
      </c>
      <c r="O37" s="7">
        <v>484</v>
      </c>
      <c r="P37" s="7">
        <f t="shared" si="4"/>
        <v>38</v>
      </c>
      <c r="Q37" s="7">
        <v>536</v>
      </c>
      <c r="R37" s="7">
        <f t="shared" si="5"/>
        <v>52</v>
      </c>
      <c r="S37" s="10"/>
      <c r="T37" s="7">
        <f t="shared" si="6"/>
        <v>-536</v>
      </c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ht="21" customHeight="1" spans="1:31">
      <c r="A38" s="7">
        <v>35</v>
      </c>
      <c r="B38" s="8" t="s">
        <v>99</v>
      </c>
      <c r="C38" s="8" t="s">
        <v>100</v>
      </c>
      <c r="D38" s="8" t="s">
        <v>99</v>
      </c>
      <c r="E38" s="7">
        <v>1</v>
      </c>
      <c r="F38" s="7">
        <v>11132</v>
      </c>
      <c r="G38" s="7">
        <v>12402</v>
      </c>
      <c r="H38" s="7">
        <f t="shared" si="0"/>
        <v>1270</v>
      </c>
      <c r="I38" s="8">
        <v>15338.4</v>
      </c>
      <c r="J38" s="7">
        <f t="shared" si="1"/>
        <v>2936.4</v>
      </c>
      <c r="K38" s="8">
        <v>17427</v>
      </c>
      <c r="L38" s="7">
        <f t="shared" si="2"/>
        <v>2088.6</v>
      </c>
      <c r="M38" s="7">
        <v>19413</v>
      </c>
      <c r="N38" s="7">
        <f t="shared" si="3"/>
        <v>1986</v>
      </c>
      <c r="O38" s="7">
        <v>20817</v>
      </c>
      <c r="P38" s="7">
        <f t="shared" si="4"/>
        <v>1404</v>
      </c>
      <c r="Q38" s="7">
        <v>25986.4</v>
      </c>
      <c r="R38" s="7">
        <f t="shared" si="5"/>
        <v>5169.4</v>
      </c>
      <c r="S38" s="7">
        <v>26984.8</v>
      </c>
      <c r="T38" s="7">
        <f t="shared" si="6"/>
        <v>998.399999999998</v>
      </c>
      <c r="U38" s="8"/>
      <c r="V38" s="8"/>
      <c r="W38" s="8"/>
      <c r="X38" s="8"/>
      <c r="Y38" s="8"/>
      <c r="Z38" s="8"/>
      <c r="AA38" s="8"/>
      <c r="AB38" s="8"/>
      <c r="AC38" s="8"/>
      <c r="AD38" s="8"/>
      <c r="AE38" s="7"/>
    </row>
    <row r="39" ht="21" customHeight="1" spans="1:31">
      <c r="A39" s="7">
        <v>36</v>
      </c>
      <c r="B39" s="8" t="s">
        <v>101</v>
      </c>
      <c r="C39" s="7"/>
      <c r="D39" s="7" t="s">
        <v>102</v>
      </c>
      <c r="E39" s="7">
        <v>1</v>
      </c>
      <c r="F39" s="7">
        <v>0</v>
      </c>
      <c r="G39" s="7">
        <v>497</v>
      </c>
      <c r="H39" s="7">
        <f t="shared" si="0"/>
        <v>497</v>
      </c>
      <c r="I39" s="7">
        <v>792</v>
      </c>
      <c r="J39" s="7">
        <f t="shared" si="1"/>
        <v>295</v>
      </c>
      <c r="K39" s="7">
        <v>208</v>
      </c>
      <c r="L39" s="7">
        <f t="shared" si="2"/>
        <v>-584</v>
      </c>
      <c r="M39" s="7">
        <v>415</v>
      </c>
      <c r="N39" s="7">
        <f t="shared" si="3"/>
        <v>207</v>
      </c>
      <c r="O39" s="7">
        <v>506</v>
      </c>
      <c r="P39" s="7">
        <f t="shared" si="4"/>
        <v>91</v>
      </c>
      <c r="Q39" s="7">
        <v>625</v>
      </c>
      <c r="R39" s="7">
        <f t="shared" si="5"/>
        <v>119</v>
      </c>
      <c r="S39" s="7">
        <v>1036</v>
      </c>
      <c r="T39" s="7">
        <f t="shared" si="6"/>
        <v>411</v>
      </c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21" customHeight="1" spans="1:31">
      <c r="A40" s="7">
        <v>37</v>
      </c>
      <c r="B40" s="8" t="s">
        <v>101</v>
      </c>
      <c r="C40" s="7"/>
      <c r="D40" s="7" t="s">
        <v>103</v>
      </c>
      <c r="E40" s="7">
        <v>1</v>
      </c>
      <c r="F40" s="7">
        <v>0</v>
      </c>
      <c r="G40" s="7">
        <v>0</v>
      </c>
      <c r="H40" s="7">
        <f t="shared" si="0"/>
        <v>0</v>
      </c>
      <c r="I40" s="7">
        <v>806.8</v>
      </c>
      <c r="J40" s="7">
        <f t="shared" si="1"/>
        <v>806.8</v>
      </c>
      <c r="K40" s="7">
        <v>1077</v>
      </c>
      <c r="L40" s="7">
        <f t="shared" si="2"/>
        <v>270.2</v>
      </c>
      <c r="M40" s="7">
        <v>1084</v>
      </c>
      <c r="N40" s="7">
        <f t="shared" si="3"/>
        <v>7</v>
      </c>
      <c r="O40" s="7">
        <v>1131</v>
      </c>
      <c r="P40" s="7">
        <f t="shared" si="4"/>
        <v>47</v>
      </c>
      <c r="Q40" s="7">
        <v>1283</v>
      </c>
      <c r="R40" s="7">
        <f t="shared" si="5"/>
        <v>152</v>
      </c>
      <c r="S40" s="7">
        <v>1716.2</v>
      </c>
      <c r="T40" s="7">
        <f t="shared" si="6"/>
        <v>433.2</v>
      </c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21" customHeight="1" spans="1:31">
      <c r="A41" s="7">
        <v>38</v>
      </c>
      <c r="B41" s="8" t="s">
        <v>104</v>
      </c>
      <c r="C41" s="7"/>
      <c r="D41" s="7" t="s">
        <v>104</v>
      </c>
      <c r="E41" s="7">
        <v>1</v>
      </c>
      <c r="F41" s="7">
        <v>0</v>
      </c>
      <c r="G41" s="7">
        <v>0</v>
      </c>
      <c r="H41" s="7">
        <f t="shared" si="0"/>
        <v>0</v>
      </c>
      <c r="I41" s="7">
        <v>12.3</v>
      </c>
      <c r="J41" s="7">
        <f t="shared" si="1"/>
        <v>12.3</v>
      </c>
      <c r="K41" s="7">
        <v>55</v>
      </c>
      <c r="L41" s="7">
        <f t="shared" si="2"/>
        <v>42.7</v>
      </c>
      <c r="M41" s="7">
        <v>96.3</v>
      </c>
      <c r="N41" s="7">
        <f t="shared" si="3"/>
        <v>41.3</v>
      </c>
      <c r="O41" s="7">
        <v>131</v>
      </c>
      <c r="P41" s="7">
        <f t="shared" si="4"/>
        <v>34.7</v>
      </c>
      <c r="Q41" s="7">
        <v>178.7</v>
      </c>
      <c r="R41" s="7">
        <f t="shared" si="5"/>
        <v>47.7</v>
      </c>
      <c r="S41" s="10"/>
      <c r="T41" s="7">
        <f t="shared" si="6"/>
        <v>-178.7</v>
      </c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21" customHeight="1" spans="1:31">
      <c r="A42" s="7">
        <v>39</v>
      </c>
      <c r="B42" s="8" t="s">
        <v>88</v>
      </c>
      <c r="C42" s="7" t="s">
        <v>105</v>
      </c>
      <c r="D42" s="7" t="s">
        <v>106</v>
      </c>
      <c r="E42" s="7">
        <v>1</v>
      </c>
      <c r="F42" s="7">
        <v>116884</v>
      </c>
      <c r="G42" s="7">
        <v>138222</v>
      </c>
      <c r="H42" s="7">
        <f t="shared" si="0"/>
        <v>21338</v>
      </c>
      <c r="I42" s="7">
        <v>150904</v>
      </c>
      <c r="J42" s="7">
        <f t="shared" si="1"/>
        <v>12682</v>
      </c>
      <c r="K42" s="7">
        <v>169400</v>
      </c>
      <c r="L42" s="7">
        <f t="shared" si="2"/>
        <v>18496</v>
      </c>
      <c r="M42" s="7">
        <v>192602</v>
      </c>
      <c r="N42" s="7">
        <f t="shared" si="3"/>
        <v>23202</v>
      </c>
      <c r="O42" s="7">
        <v>195829</v>
      </c>
      <c r="P42" s="7">
        <f t="shared" si="4"/>
        <v>3227</v>
      </c>
      <c r="Q42" s="7">
        <v>195829</v>
      </c>
      <c r="R42" s="7">
        <f t="shared" si="5"/>
        <v>0</v>
      </c>
      <c r="S42" s="10"/>
      <c r="T42" s="7">
        <f t="shared" si="6"/>
        <v>-195829</v>
      </c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21" customHeight="1" spans="1:31">
      <c r="A43" s="7">
        <v>40</v>
      </c>
      <c r="B43" s="7" t="s">
        <v>107</v>
      </c>
      <c r="C43" s="7" t="s">
        <v>108</v>
      </c>
      <c r="D43" s="7" t="s">
        <v>107</v>
      </c>
      <c r="E43" s="7">
        <v>1</v>
      </c>
      <c r="F43" s="7">
        <v>176360</v>
      </c>
      <c r="G43" s="7">
        <v>222688</v>
      </c>
      <c r="H43" s="7">
        <f t="shared" si="0"/>
        <v>46328</v>
      </c>
      <c r="I43" s="7">
        <v>241896</v>
      </c>
      <c r="J43" s="7">
        <f t="shared" si="1"/>
        <v>19208</v>
      </c>
      <c r="K43" s="7">
        <v>285544</v>
      </c>
      <c r="L43" s="7">
        <f t="shared" si="2"/>
        <v>43648</v>
      </c>
      <c r="M43" s="7">
        <v>344088</v>
      </c>
      <c r="N43" s="7">
        <f t="shared" si="3"/>
        <v>58544</v>
      </c>
      <c r="O43" s="7">
        <v>380912</v>
      </c>
      <c r="P43" s="7">
        <f t="shared" si="4"/>
        <v>36824</v>
      </c>
      <c r="Q43" s="7">
        <v>442712</v>
      </c>
      <c r="R43" s="7">
        <f t="shared" si="5"/>
        <v>61800</v>
      </c>
      <c r="S43" s="7">
        <v>506296</v>
      </c>
      <c r="T43" s="7">
        <f t="shared" si="6"/>
        <v>63584</v>
      </c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ht="21" customHeight="1" spans="1:31">
      <c r="A44" s="7">
        <v>41</v>
      </c>
      <c r="B44" s="7" t="s">
        <v>109</v>
      </c>
      <c r="C44" s="7" t="s">
        <v>110</v>
      </c>
      <c r="D44" s="7" t="s">
        <v>109</v>
      </c>
      <c r="E44" s="7">
        <v>1</v>
      </c>
      <c r="F44" s="7">
        <v>535328</v>
      </c>
      <c r="G44" s="7">
        <v>709248</v>
      </c>
      <c r="H44" s="7">
        <f t="shared" si="0"/>
        <v>173920</v>
      </c>
      <c r="I44" s="7">
        <v>793120</v>
      </c>
      <c r="J44" s="7">
        <f t="shared" si="1"/>
        <v>83872</v>
      </c>
      <c r="K44" s="7">
        <v>878952</v>
      </c>
      <c r="L44" s="7">
        <f t="shared" si="2"/>
        <v>85832</v>
      </c>
      <c r="M44" s="7">
        <v>1073672</v>
      </c>
      <c r="N44" s="7">
        <f t="shared" si="3"/>
        <v>194720</v>
      </c>
      <c r="O44" s="7">
        <v>1168056</v>
      </c>
      <c r="P44" s="7">
        <f t="shared" si="4"/>
        <v>94384</v>
      </c>
      <c r="Q44" s="7">
        <v>1345688</v>
      </c>
      <c r="R44" s="7">
        <f t="shared" si="5"/>
        <v>177632</v>
      </c>
      <c r="S44" s="7">
        <v>1544008</v>
      </c>
      <c r="T44" s="7">
        <f t="shared" si="6"/>
        <v>198320</v>
      </c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21" customHeight="1" spans="1:31">
      <c r="A45" s="7">
        <v>42</v>
      </c>
      <c r="B45" s="7" t="s">
        <v>111</v>
      </c>
      <c r="C45" s="7" t="s">
        <v>112</v>
      </c>
      <c r="D45" s="7" t="s">
        <v>111</v>
      </c>
      <c r="E45" s="7">
        <v>1</v>
      </c>
      <c r="F45" s="7">
        <v>95720</v>
      </c>
      <c r="G45" s="7">
        <v>158704</v>
      </c>
      <c r="H45" s="7">
        <f t="shared" si="0"/>
        <v>62984</v>
      </c>
      <c r="I45" s="7">
        <v>190296</v>
      </c>
      <c r="J45" s="7">
        <f t="shared" si="1"/>
        <v>31592</v>
      </c>
      <c r="K45" s="7">
        <v>244088</v>
      </c>
      <c r="L45" s="7">
        <f t="shared" si="2"/>
        <v>53792</v>
      </c>
      <c r="M45" s="7">
        <v>320104</v>
      </c>
      <c r="N45" s="7">
        <f t="shared" si="3"/>
        <v>76016</v>
      </c>
      <c r="O45" s="7">
        <v>360016</v>
      </c>
      <c r="P45" s="7">
        <f t="shared" si="4"/>
        <v>39912</v>
      </c>
      <c r="Q45" s="7">
        <v>429872</v>
      </c>
      <c r="R45" s="7">
        <f t="shared" si="5"/>
        <v>69856</v>
      </c>
      <c r="S45" s="7">
        <v>524008</v>
      </c>
      <c r="T45" s="7">
        <f t="shared" si="6"/>
        <v>94136</v>
      </c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21" customHeight="1" spans="1:31">
      <c r="A46" s="7">
        <v>43</v>
      </c>
      <c r="B46" s="7" t="s">
        <v>113</v>
      </c>
      <c r="C46" s="7" t="s">
        <v>114</v>
      </c>
      <c r="D46" s="7" t="s">
        <v>113</v>
      </c>
      <c r="E46" s="7">
        <v>1</v>
      </c>
      <c r="F46" s="7">
        <v>308432</v>
      </c>
      <c r="G46" s="7">
        <v>377976</v>
      </c>
      <c r="H46" s="7">
        <f t="shared" si="0"/>
        <v>69544</v>
      </c>
      <c r="I46" s="7">
        <v>414720</v>
      </c>
      <c r="J46" s="7">
        <f t="shared" si="1"/>
        <v>36744</v>
      </c>
      <c r="K46" s="7">
        <v>480248</v>
      </c>
      <c r="L46" s="7">
        <f t="shared" si="2"/>
        <v>65528</v>
      </c>
      <c r="M46" s="7">
        <v>563800</v>
      </c>
      <c r="N46" s="7">
        <f t="shared" si="3"/>
        <v>83552</v>
      </c>
      <c r="O46" s="7">
        <v>625864</v>
      </c>
      <c r="P46" s="7">
        <f t="shared" si="4"/>
        <v>62064</v>
      </c>
      <c r="Q46" s="7">
        <v>722800</v>
      </c>
      <c r="R46" s="7">
        <f t="shared" si="5"/>
        <v>96936</v>
      </c>
      <c r="S46" s="7">
        <v>819168</v>
      </c>
      <c r="T46" s="7">
        <f t="shared" si="6"/>
        <v>96368</v>
      </c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="2" customFormat="1" ht="21" customHeight="1" spans="1:31">
      <c r="A47" s="12">
        <v>44</v>
      </c>
      <c r="B47" s="12" t="s">
        <v>115</v>
      </c>
      <c r="C47" s="12"/>
      <c r="D47" s="12"/>
      <c r="E47" s="12"/>
      <c r="F47" s="13">
        <f t="shared" ref="F47:T47" si="7">SUM(F4:F46)</f>
        <v>1482034.86</v>
      </c>
      <c r="G47" s="13">
        <f t="shared" si="7"/>
        <v>1998132.3</v>
      </c>
      <c r="H47" s="13">
        <f t="shared" si="7"/>
        <v>629629.4</v>
      </c>
      <c r="I47" s="13">
        <f t="shared" si="7"/>
        <v>2204768.28</v>
      </c>
      <c r="J47" s="13">
        <f t="shared" si="7"/>
        <v>259277.1</v>
      </c>
      <c r="K47" s="13">
        <f t="shared" si="7"/>
        <v>2644082.32</v>
      </c>
      <c r="L47" s="13">
        <f t="shared" si="7"/>
        <v>557346.1</v>
      </c>
      <c r="M47" s="13">
        <f t="shared" si="7"/>
        <v>3259187.48</v>
      </c>
      <c r="N47" s="13">
        <f t="shared" si="7"/>
        <v>777708.7</v>
      </c>
      <c r="O47" s="13">
        <f t="shared" si="7"/>
        <v>3581675.81</v>
      </c>
      <c r="P47" s="13">
        <f t="shared" si="7"/>
        <v>420169.3</v>
      </c>
      <c r="Q47" s="13">
        <f t="shared" si="7"/>
        <v>4152439.54</v>
      </c>
      <c r="R47" s="13">
        <f t="shared" si="7"/>
        <v>709908.3</v>
      </c>
      <c r="S47" s="13">
        <f t="shared" si="7"/>
        <v>4455539.87</v>
      </c>
      <c r="T47" s="6">
        <f t="shared" si="7"/>
        <v>500760.1</v>
      </c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</row>
  </sheetData>
  <mergeCells count="25">
    <mergeCell ref="A1:AE1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B47:D47"/>
    <mergeCell ref="A2:A3"/>
    <mergeCell ref="B2:B3"/>
    <mergeCell ref="B5:B6"/>
    <mergeCell ref="B8:B9"/>
    <mergeCell ref="B10:B12"/>
    <mergeCell ref="B30:B31"/>
    <mergeCell ref="B36:B37"/>
    <mergeCell ref="C2:C3"/>
    <mergeCell ref="D2:D3"/>
    <mergeCell ref="E2:E3"/>
    <mergeCell ref="AE2:AE3"/>
  </mergeCells>
  <printOptions horizontalCentered="1"/>
  <pageMargins left="0.0777777777777778" right="0.0777777777777778" top="0" bottom="0" header="0" footer="0"/>
  <pageSetup paperSize="9" scale="41" fitToHeight="0" orientation="landscape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w三岁</cp:lastModifiedBy>
  <dcterms:created xsi:type="dcterms:W3CDTF">2023-05-12T11:15:00Z</dcterms:created>
  <dcterms:modified xsi:type="dcterms:W3CDTF">2026-08-12T07:54:50Z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E82DA45E7D1D4D49AACE40647944F1B9_12</vt:lpwstr>
  </property>
  <property fmtid="{D5CDD505-2E9C-101B-9397-08002B2CF9AE}" pid="4" name="CalculationRule">
    <vt:i4>0</vt:i4>
  </property>
</Properties>
</file>